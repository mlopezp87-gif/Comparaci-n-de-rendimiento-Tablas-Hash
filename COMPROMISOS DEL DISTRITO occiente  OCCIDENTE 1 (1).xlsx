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ckeline Monterroso\Downloads\"/>
    </mc:Choice>
  </mc:AlternateContent>
  <bookViews>
    <workbookView xWindow="0" yWindow="0" windowWidth="20490" windowHeight="8820" activeTab="1"/>
  </bookViews>
  <sheets>
    <sheet name="Hoja1" sheetId="1" r:id="rId1"/>
    <sheet name="region occidente 1 " sheetId="2" r:id="rId2"/>
  </sheets>
  <definedNames>
    <definedName name="_xlnm._FilterDatabase" localSheetId="0" hidden="1">Hoja1!$B$4:$AI$4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2" l="1"/>
  <c r="W12" i="2" l="1"/>
  <c r="Z12" i="2"/>
  <c r="R6" i="2"/>
  <c r="AF12" i="2"/>
  <c r="E6" i="2"/>
  <c r="E7" i="2"/>
  <c r="R8" i="2"/>
  <c r="R10" i="2"/>
  <c r="E9" i="2"/>
  <c r="AA6" i="2"/>
  <c r="AB6" i="2" s="1"/>
  <c r="AG6" i="2"/>
  <c r="AH6" i="2" s="1"/>
  <c r="AG7" i="2"/>
  <c r="AH7" i="2" s="1"/>
  <c r="AG8" i="2"/>
  <c r="AH8" i="2" s="1"/>
  <c r="AG9" i="2"/>
  <c r="AH9" i="2" s="1"/>
  <c r="AG10" i="2"/>
  <c r="AH10" i="2" s="1"/>
  <c r="AG5" i="2"/>
  <c r="AH5" i="2" s="1"/>
  <c r="AA7" i="2"/>
  <c r="AB7" i="2" s="1"/>
  <c r="AA8" i="2"/>
  <c r="AB8" i="2" s="1"/>
  <c r="AA9" i="2"/>
  <c r="AB9" i="2" s="1"/>
  <c r="AA10" i="2"/>
  <c r="AB10" i="2" s="1"/>
  <c r="Y12" i="2"/>
  <c r="AG12" i="2" l="1"/>
  <c r="AG5" i="1" l="1"/>
  <c r="AE12" i="2"/>
  <c r="AF5" i="1" s="1"/>
  <c r="AD12" i="2" l="1"/>
  <c r="AE5" i="1" s="1"/>
  <c r="AA5" i="1"/>
  <c r="Z5" i="1"/>
  <c r="X12" i="2"/>
  <c r="Y5" i="1" s="1"/>
  <c r="T5" i="1"/>
  <c r="T12" i="2"/>
  <c r="U5" i="1" s="1"/>
  <c r="R9" i="2"/>
  <c r="R5" i="2"/>
  <c r="Q12" i="2"/>
  <c r="R5" i="1" s="1"/>
  <c r="R12" i="1" s="1"/>
  <c r="P12" i="2"/>
  <c r="Q5" i="1" s="1"/>
  <c r="Q12" i="1" s="1"/>
  <c r="O12" i="2"/>
  <c r="P5" i="1" s="1"/>
  <c r="K12" i="2"/>
  <c r="L5" i="1" s="1"/>
  <c r="L6" i="2"/>
  <c r="L7" i="2"/>
  <c r="L8" i="2"/>
  <c r="M8" i="2" s="1"/>
  <c r="L9" i="2"/>
  <c r="M9" i="2" s="1"/>
  <c r="L10" i="2"/>
  <c r="M10" i="2" s="1"/>
  <c r="J12" i="2"/>
  <c r="K5" i="1" s="1"/>
  <c r="D12" i="2"/>
  <c r="E5" i="1" s="1"/>
  <c r="G6" i="2"/>
  <c r="G7" i="2"/>
  <c r="E8" i="2"/>
  <c r="G8" i="2" s="1"/>
  <c r="G9" i="2"/>
  <c r="E10" i="2"/>
  <c r="G10" i="2" s="1"/>
  <c r="E5" i="2"/>
  <c r="G5" i="2" s="1"/>
  <c r="C12" i="2"/>
  <c r="D5" i="1" s="1"/>
  <c r="B12" i="2"/>
  <c r="C5" i="1" s="1"/>
  <c r="AH12" i="2" l="1"/>
  <c r="X5" i="1"/>
  <c r="R12" i="2"/>
  <c r="E12" i="2"/>
  <c r="G12" i="2" s="1"/>
  <c r="S5" i="1" l="1"/>
  <c r="U12" i="2"/>
  <c r="AA5" i="2" l="1"/>
  <c r="U6" i="2"/>
  <c r="U7" i="2"/>
  <c r="U8" i="2"/>
  <c r="U9" i="2"/>
  <c r="U10" i="2"/>
  <c r="U5" i="2"/>
  <c r="L5" i="2"/>
  <c r="F12" i="2"/>
  <c r="F6" i="2"/>
  <c r="F7" i="2"/>
  <c r="F8" i="2"/>
  <c r="F9" i="2"/>
  <c r="F10" i="2"/>
  <c r="F5" i="2"/>
  <c r="AA12" i="2" l="1"/>
  <c r="AB12" i="2" s="1"/>
  <c r="AB5" i="2"/>
  <c r="L12" i="2"/>
  <c r="S6" i="2"/>
  <c r="S5" i="2"/>
  <c r="S10" i="2"/>
  <c r="S9" i="2"/>
  <c r="S8" i="2"/>
  <c r="S7" i="2"/>
  <c r="P12" i="1"/>
  <c r="V5" i="1"/>
  <c r="U12" i="1"/>
  <c r="S12" i="1" l="1"/>
  <c r="T12" i="1" s="1"/>
  <c r="V12" i="1"/>
  <c r="D12" i="1" l="1"/>
  <c r="E12" i="1"/>
  <c r="I12" i="1"/>
  <c r="K12" i="1"/>
  <c r="L12" i="1"/>
  <c r="O12" i="1"/>
  <c r="X12" i="1"/>
  <c r="Y12" i="1"/>
  <c r="Z12" i="1"/>
  <c r="AA12" i="1"/>
  <c r="AD12" i="1"/>
  <c r="AE12" i="1"/>
  <c r="AF12" i="1"/>
  <c r="AG12" i="1"/>
  <c r="AH5" i="1"/>
  <c r="AI5" i="1" s="1"/>
  <c r="AB5" i="1"/>
  <c r="AC5" i="1" s="1"/>
  <c r="M5" i="1"/>
  <c r="C12" i="1"/>
  <c r="F5" i="1"/>
  <c r="G5" i="1" l="1"/>
  <c r="H5" i="1"/>
  <c r="M12" i="1"/>
  <c r="AH12" i="1"/>
  <c r="AI12" i="1" s="1"/>
  <c r="AB12" i="1"/>
  <c r="AC12" i="1" s="1"/>
  <c r="F12" i="1"/>
  <c r="G12" i="1" l="1"/>
  <c r="H12" i="1"/>
  <c r="M5" i="2"/>
  <c r="I12" i="2"/>
  <c r="J5" i="1" s="1"/>
  <c r="M7" i="2"/>
  <c r="M6" i="2"/>
  <c r="N5" i="1" l="1"/>
  <c r="J12" i="1"/>
  <c r="N12" i="1" s="1"/>
  <c r="M12" i="2"/>
</calcChain>
</file>

<file path=xl/sharedStrings.xml><?xml version="1.0" encoding="utf-8"?>
<sst xmlns="http://schemas.openxmlformats.org/spreadsheetml/2006/main" count="85" uniqueCount="40">
  <si>
    <t>Región</t>
  </si>
  <si>
    <t>R19 REGIÓN FRONTERA</t>
  </si>
  <si>
    <t>R22 REGIÓN OCCIDENTE</t>
  </si>
  <si>
    <t>R03 REGIÓN OCCIDENTE I</t>
  </si>
  <si>
    <t>R09 REGIÓN OCCIDENTE II</t>
  </si>
  <si>
    <t>R12 REGIÓN HUEHUETENANGO</t>
  </si>
  <si>
    <t>R15 REGIÓN QUICHE</t>
  </si>
  <si>
    <t>D02 DISTRITO OCCIDENTE</t>
  </si>
  <si>
    <t>Meta</t>
  </si>
  <si>
    <t>Clientes Hoy</t>
  </si>
  <si>
    <t>% Logro vs meta</t>
  </si>
  <si>
    <t>CLIENTES</t>
  </si>
  <si>
    <t>COLOCACIÓN</t>
  </si>
  <si>
    <t>Colocación</t>
  </si>
  <si>
    <t>Colocación Hoy</t>
  </si>
  <si>
    <t>Etapa 1-90D</t>
  </si>
  <si>
    <t>Recuperación Hoy</t>
  </si>
  <si>
    <t>Pre-Pago del día</t>
  </si>
  <si>
    <t>MORA</t>
  </si>
  <si>
    <t>Cartera</t>
  </si>
  <si>
    <t>CASTIGO</t>
  </si>
  <si>
    <t>Castigo</t>
  </si>
  <si>
    <t>90 días hoy</t>
  </si>
  <si>
    <t>Clientes</t>
  </si>
  <si>
    <t>% Etapa 1a90D</t>
  </si>
  <si>
    <t>% Castigo</t>
  </si>
  <si>
    <t>ACT/ PRODUC</t>
  </si>
  <si>
    <t>Produntividad x Prom</t>
  </si>
  <si>
    <t>OPERACIONES</t>
  </si>
  <si>
    <t>Ope.</t>
  </si>
  <si>
    <t>Ope. Hoy</t>
  </si>
  <si>
    <t>Acum.</t>
  </si>
  <si>
    <t>043 - QUETZALTENANGO</t>
  </si>
  <si>
    <t>046 - SAN PEDRO SAC</t>
  </si>
  <si>
    <t>056 - TEJUTLA</t>
  </si>
  <si>
    <t>089 - SAN JUAN OSTUNCALCO</t>
  </si>
  <si>
    <t>097 - TACANÁ</t>
  </si>
  <si>
    <t>099 - SAN MARCOS</t>
  </si>
  <si>
    <t>Castigo, LO QUE YA CAYO A CASTIGO</t>
  </si>
  <si>
    <t xml:space="preserve">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</si>
</sst>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Q&quot;* #,##0.00_-;\-&quot;Q&quot;* #,##0.00_-;_-&quot;Q&quot;* &quot;-&quot;??_-;_-@_-"/>
    <numFmt numFmtId="43" formatCode="_-* #,##0.00_-;\-* #,##0.00_-;_-* &quot;-&quot;??_-;_-@_-"/>
    <numFmt numFmtId="164" formatCode="&quot;Q&quot;#,##0.00"/>
    <numFmt numFmtId="165" formatCode="&quot;Q&quot;#,##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568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6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5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4" fontId="0" fillId="0" borderId="1" xfId="2" applyFont="1" applyBorder="1"/>
    <xf numFmtId="0" fontId="0" fillId="5" borderId="1" xfId="0" applyFill="1" applyBorder="1" applyAlignment="1">
      <alignment horizontal="right"/>
    </xf>
    <xf numFmtId="1" fontId="0" fillId="5" borderId="0" xfId="0" applyNumberFormat="1" applyFill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2" fontId="0" fillId="5" borderId="1" xfId="1" applyNumberFormat="1" applyFont="1" applyFill="1" applyBorder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44" fontId="0" fillId="5" borderId="1" xfId="2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0" fontId="0" fillId="5" borderId="1" xfId="1" applyNumberFormat="1" applyFont="1" applyFill="1" applyBorder="1" applyAlignment="1">
      <alignment horizontal="center" vertical="center"/>
    </xf>
    <xf numFmtId="10" fontId="0" fillId="5" borderId="0" xfId="1" applyNumberFormat="1" applyFont="1" applyFill="1" applyAlignment="1">
      <alignment horizontal="center" vertical="center"/>
    </xf>
    <xf numFmtId="10" fontId="3" fillId="5" borderId="1" xfId="1" applyNumberFormat="1" applyFont="1" applyFill="1" applyBorder="1" applyAlignment="1">
      <alignment horizontal="center" vertical="center"/>
    </xf>
    <xf numFmtId="9" fontId="3" fillId="5" borderId="0" xfId="1" applyFont="1" applyFill="1" applyAlignment="1">
      <alignment horizontal="center" vertical="center"/>
    </xf>
    <xf numFmtId="44" fontId="0" fillId="0" borderId="1" xfId="0" applyNumberForma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43" fontId="0" fillId="0" borderId="0" xfId="0" applyNumberFormat="1"/>
    <xf numFmtId="15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15" fontId="4" fillId="2" borderId="3" xfId="0" applyNumberFormat="1" applyFont="1" applyFill="1" applyBorder="1" applyAlignment="1" applyProtection="1">
      <alignment horizontal="center" vertical="center" wrapText="1"/>
      <protection hidden="1"/>
    </xf>
    <xf numFmtId="15" fontId="4" fillId="2" borderId="4" xfId="0" applyNumberFormat="1" applyFont="1" applyFill="1" applyBorder="1" applyAlignment="1" applyProtection="1">
      <alignment horizontal="center" vertical="center" wrapText="1"/>
      <protection hidden="1"/>
    </xf>
    <xf numFmtId="15" fontId="4" fillId="2" borderId="5" xfId="0" applyNumberFormat="1" applyFont="1" applyFill="1" applyBorder="1" applyAlignment="1" applyProtection="1">
      <alignment horizontal="center" vertical="center" wrapText="1"/>
      <protection hidden="1"/>
    </xf>
    <xf numFmtId="15" fontId="4" fillId="2" borderId="0" xfId="0" applyNumberFormat="1" applyFont="1" applyFill="1" applyAlignment="1" applyProtection="1">
      <alignment horizontal="center" vertical="center" wrapText="1"/>
      <protection hidden="1"/>
    </xf>
    <xf numFmtId="15" fontId="4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2"/>
  <sheetViews>
    <sheetView showGridLines="0" workbookViewId="0">
      <selection activeCell="B2" sqref="B2"/>
    </sheetView>
  </sheetViews>
  <sheetFormatPr baseColWidth="10" defaultRowHeight="14.25"/>
  <cols>
    <col min="1" max="1" width="0.375" customWidth="1"/>
    <col min="2" max="2" width="28.375" bestFit="1" customWidth="1"/>
    <col min="3" max="3" width="4.875" style="3" bestFit="1" customWidth="1"/>
    <col min="4" max="5" width="7.875" style="3" bestFit="1" customWidth="1"/>
    <col min="6" max="6" width="5.625" style="3" bestFit="1" customWidth="1"/>
    <col min="7" max="7" width="8.625" style="3" bestFit="1" customWidth="1"/>
    <col min="8" max="8" width="9.625" style="3" bestFit="1" customWidth="1"/>
    <col min="9" max="9" width="0.375" style="3" customWidth="1"/>
    <col min="10" max="10" width="15.125" style="6" bestFit="1" customWidth="1"/>
    <col min="11" max="11" width="14.125" style="6" bestFit="1" customWidth="1"/>
    <col min="12" max="12" width="12.875" style="6" bestFit="1" customWidth="1"/>
    <col min="13" max="13" width="14.125" style="6" bestFit="1" customWidth="1"/>
    <col min="14" max="14" width="6.625" bestFit="1" customWidth="1"/>
    <col min="15" max="15" width="0.375" customWidth="1"/>
    <col min="16" max="16" width="5.875" customWidth="1"/>
    <col min="17" max="17" width="6.125" customWidth="1"/>
    <col min="18" max="18" width="8.25" bestFit="1" customWidth="1"/>
    <col min="19" max="19" width="5.625" bestFit="1" customWidth="1"/>
    <col min="20" max="20" width="6.625" bestFit="1" customWidth="1"/>
    <col min="21" max="21" width="8.125" bestFit="1" customWidth="1"/>
    <col min="22" max="22" width="9.625" bestFit="1" customWidth="1"/>
    <col min="23" max="23" width="0.375" customWidth="1"/>
    <col min="24" max="24" width="14.125" bestFit="1" customWidth="1"/>
    <col min="25" max="25" width="12.625" bestFit="1" customWidth="1"/>
    <col min="26" max="26" width="11.125" bestFit="1" customWidth="1"/>
    <col min="27" max="27" width="14.125" bestFit="1" customWidth="1"/>
    <col min="28" max="28" width="15.125" bestFit="1" customWidth="1"/>
    <col min="29" max="29" width="8.625" bestFit="1" customWidth="1"/>
    <col min="30" max="30" width="0.375" customWidth="1"/>
    <col min="31" max="32" width="10.625" bestFit="1" customWidth="1"/>
    <col min="33" max="33" width="12.375" customWidth="1"/>
    <col min="34" max="34" width="12.875" bestFit="1" customWidth="1"/>
    <col min="35" max="35" width="6.375" bestFit="1" customWidth="1"/>
    <col min="36" max="36" width="0.375" customWidth="1"/>
  </cols>
  <sheetData>
    <row r="2" spans="2:35" s="2" customFormat="1" ht="14.45" customHeight="1">
      <c r="C2" s="66" t="s">
        <v>11</v>
      </c>
      <c r="D2" s="67"/>
      <c r="E2" s="67"/>
      <c r="F2" s="67"/>
      <c r="G2" s="67"/>
      <c r="H2" s="67"/>
      <c r="I2" s="29"/>
      <c r="J2" s="63" t="s">
        <v>12</v>
      </c>
      <c r="K2" s="64"/>
      <c r="L2" s="64"/>
      <c r="M2" s="64"/>
      <c r="N2" s="65"/>
      <c r="P2" s="63" t="s">
        <v>28</v>
      </c>
      <c r="Q2" s="64"/>
      <c r="R2" s="64"/>
      <c r="S2" s="64"/>
      <c r="T2" s="64"/>
      <c r="U2" s="64"/>
      <c r="V2" s="65"/>
      <c r="X2" s="63" t="s">
        <v>18</v>
      </c>
      <c r="Y2" s="64"/>
      <c r="Z2" s="64"/>
      <c r="AA2" s="64"/>
      <c r="AB2" s="64"/>
      <c r="AC2" s="65"/>
      <c r="AE2" s="63" t="s">
        <v>20</v>
      </c>
      <c r="AF2" s="64"/>
      <c r="AG2" s="64"/>
      <c r="AH2" s="64"/>
      <c r="AI2" s="65"/>
    </row>
    <row r="3" spans="2:35" ht="3" customHeight="1">
      <c r="N3" s="3"/>
      <c r="X3" s="6"/>
      <c r="Y3" s="6"/>
      <c r="Z3" s="6"/>
      <c r="AA3" s="6"/>
      <c r="AB3" s="6"/>
      <c r="AC3" s="3"/>
      <c r="AE3" s="6"/>
      <c r="AF3" s="6"/>
      <c r="AG3" s="6"/>
      <c r="AH3" s="6"/>
      <c r="AI3" s="3"/>
    </row>
    <row r="4" spans="2:35" ht="51">
      <c r="B4" s="10" t="s">
        <v>0</v>
      </c>
      <c r="C4" s="10" t="s">
        <v>8</v>
      </c>
      <c r="D4" s="11" t="s">
        <v>23</v>
      </c>
      <c r="E4" s="11" t="s">
        <v>9</v>
      </c>
      <c r="F4" s="10" t="s">
        <v>31</v>
      </c>
      <c r="G4" s="10" t="s">
        <v>10</v>
      </c>
      <c r="H4" s="19" t="s">
        <v>27</v>
      </c>
      <c r="J4" s="19" t="s">
        <v>8</v>
      </c>
      <c r="K4" s="20" t="s">
        <v>13</v>
      </c>
      <c r="L4" s="20" t="s">
        <v>14</v>
      </c>
      <c r="M4" s="10" t="s">
        <v>31</v>
      </c>
      <c r="N4" s="10" t="s">
        <v>10</v>
      </c>
      <c r="P4" s="10" t="s">
        <v>8</v>
      </c>
      <c r="Q4" s="11" t="s">
        <v>29</v>
      </c>
      <c r="R4" s="11" t="s">
        <v>30</v>
      </c>
      <c r="S4" s="10" t="s">
        <v>31</v>
      </c>
      <c r="T4" s="10" t="s">
        <v>10</v>
      </c>
      <c r="U4" s="11" t="s">
        <v>26</v>
      </c>
      <c r="V4" s="19" t="s">
        <v>27</v>
      </c>
      <c r="X4" s="20" t="s">
        <v>19</v>
      </c>
      <c r="Y4" s="20" t="s">
        <v>15</v>
      </c>
      <c r="Z4" s="20" t="s">
        <v>17</v>
      </c>
      <c r="AA4" s="20" t="s">
        <v>16</v>
      </c>
      <c r="AB4" s="10" t="s">
        <v>31</v>
      </c>
      <c r="AC4" s="10" t="s">
        <v>24</v>
      </c>
      <c r="AE4" s="20" t="s">
        <v>21</v>
      </c>
      <c r="AF4" s="20" t="s">
        <v>22</v>
      </c>
      <c r="AG4" s="20" t="s">
        <v>16</v>
      </c>
      <c r="AH4" s="10" t="s">
        <v>31</v>
      </c>
      <c r="AI4" s="10" t="s">
        <v>25</v>
      </c>
    </row>
    <row r="5" spans="2:35">
      <c r="B5" s="12" t="s">
        <v>3</v>
      </c>
      <c r="C5" s="32">
        <f>'region occidente 1 '!B12</f>
        <v>352</v>
      </c>
      <c r="D5" s="13">
        <f>'region occidente 1 '!C12</f>
        <v>-124</v>
      </c>
      <c r="E5" s="13">
        <f>'region occidente 1 '!D12</f>
        <v>32</v>
      </c>
      <c r="F5" s="14">
        <f t="shared" ref="F5" si="0">+D5+E5</f>
        <v>-92</v>
      </c>
      <c r="G5" s="15">
        <f t="shared" ref="G5" si="1">+F5/C5</f>
        <v>-0.26136363636363635</v>
      </c>
      <c r="H5" s="36">
        <f>+F5/U5</f>
        <v>-1.1794871794871795</v>
      </c>
      <c r="J5" s="34">
        <f>'region occidente 1 '!I12</f>
        <v>24021196</v>
      </c>
      <c r="K5" s="21">
        <f>'region occidente 1 '!J12</f>
        <v>9085260.3900000006</v>
      </c>
      <c r="L5" s="21">
        <f>'region occidente 1 '!K12</f>
        <v>1246000</v>
      </c>
      <c r="M5" s="22">
        <f t="shared" ref="M5" si="2">+K5+L5</f>
        <v>10331260.390000001</v>
      </c>
      <c r="N5" s="15">
        <f t="shared" ref="N5" si="3">+M5/J5</f>
        <v>0.4300893423458183</v>
      </c>
      <c r="P5" s="32">
        <f>'region occidente 1 '!O12</f>
        <v>1628</v>
      </c>
      <c r="Q5" s="13">
        <f>'region occidente 1 '!P12</f>
        <v>489</v>
      </c>
      <c r="R5" s="13">
        <f>'region occidente 1 '!Q12</f>
        <v>71</v>
      </c>
      <c r="S5" s="13">
        <f>'region occidente 1 '!R12</f>
        <v>560</v>
      </c>
      <c r="T5" s="13">
        <f>'region occidente 1 '!S12</f>
        <v>0.68585543303833474</v>
      </c>
      <c r="U5" s="13">
        <f>'region occidente 1 '!T12</f>
        <v>78</v>
      </c>
      <c r="V5" s="30">
        <f>+Q5/U5</f>
        <v>6.2692307692307692</v>
      </c>
      <c r="X5" s="21">
        <f>'region occidente 1 '!W12</f>
        <v>252444168.33000001</v>
      </c>
      <c r="Y5" s="21">
        <f>'region occidente 1 '!X12</f>
        <v>42228511.740000002</v>
      </c>
      <c r="Z5" s="21">
        <f>'region occidente 1 '!Y12</f>
        <v>13002344.08</v>
      </c>
      <c r="AA5" s="22">
        <f>'region occidente 1 '!Z12</f>
        <v>11710885.680000002</v>
      </c>
      <c r="AB5" s="22">
        <f t="shared" ref="AB5" si="4">+Y5+Z5-AA5</f>
        <v>43519970.140000001</v>
      </c>
      <c r="AC5" s="26">
        <f t="shared" ref="AC5" si="5">+AB5/X5</f>
        <v>0.17239443647242361</v>
      </c>
      <c r="AE5" s="21">
        <f>'region occidente 1 '!AD12</f>
        <v>844749.09999999986</v>
      </c>
      <c r="AF5" s="22">
        <f>'region occidente 1 '!AE12</f>
        <v>10263.92</v>
      </c>
      <c r="AG5" s="22">
        <f>'region occidente 1 '!AF12</f>
        <v>18971</v>
      </c>
      <c r="AH5" s="22">
        <f t="shared" ref="AH5" si="6">+AE5+AF5-AG5</f>
        <v>836042.0199999999</v>
      </c>
      <c r="AI5" s="26">
        <f t="shared" ref="AI5" si="7">+AH5/X5</f>
        <v>3.3117897930884633E-3</v>
      </c>
    </row>
    <row r="6" spans="2:35">
      <c r="B6" s="12" t="s">
        <v>4</v>
      </c>
      <c r="C6" s="32"/>
      <c r="D6" s="14"/>
      <c r="E6" s="14"/>
      <c r="F6" s="14"/>
      <c r="G6" s="15"/>
      <c r="H6" s="36"/>
      <c r="J6" s="34"/>
      <c r="K6" s="22"/>
      <c r="L6" s="22"/>
      <c r="M6" s="22"/>
      <c r="N6" s="15"/>
      <c r="P6" s="32"/>
      <c r="Q6" s="13"/>
      <c r="R6" s="13"/>
      <c r="S6" s="13"/>
      <c r="T6" s="15"/>
      <c r="U6" s="14"/>
      <c r="V6" s="30"/>
      <c r="X6" s="21"/>
      <c r="Y6" s="21"/>
      <c r="Z6" s="22"/>
      <c r="AA6" s="22"/>
      <c r="AB6" s="22"/>
      <c r="AC6" s="26"/>
      <c r="AE6" s="21"/>
      <c r="AF6" s="22"/>
      <c r="AG6" s="22"/>
      <c r="AH6" s="22"/>
      <c r="AI6" s="26"/>
    </row>
    <row r="7" spans="2:35">
      <c r="B7" s="12" t="s">
        <v>5</v>
      </c>
      <c r="C7" s="32"/>
      <c r="D7" s="14"/>
      <c r="E7" s="14"/>
      <c r="F7" s="14"/>
      <c r="G7" s="15"/>
      <c r="H7" s="36"/>
      <c r="J7" s="34"/>
      <c r="K7" s="22"/>
      <c r="L7" s="22"/>
      <c r="M7" s="22"/>
      <c r="N7" s="15"/>
      <c r="P7" s="32"/>
      <c r="Q7" s="13"/>
      <c r="R7" s="13"/>
      <c r="S7" s="13"/>
      <c r="T7" s="15"/>
      <c r="U7" s="14"/>
      <c r="V7" s="30"/>
      <c r="X7" s="21"/>
      <c r="Y7" s="21"/>
      <c r="Z7" s="22"/>
      <c r="AA7" s="22"/>
      <c r="AB7" s="22"/>
      <c r="AC7" s="26"/>
      <c r="AE7" s="21"/>
      <c r="AF7" s="22"/>
      <c r="AG7" s="22"/>
      <c r="AH7" s="22"/>
      <c r="AI7" s="26"/>
    </row>
    <row r="8" spans="2:35">
      <c r="B8" s="12" t="s">
        <v>6</v>
      </c>
      <c r="C8" s="32"/>
      <c r="D8" s="14"/>
      <c r="E8" s="14"/>
      <c r="F8" s="14"/>
      <c r="G8" s="15"/>
      <c r="H8" s="36"/>
      <c r="J8" s="34"/>
      <c r="K8" s="22"/>
      <c r="L8" s="22"/>
      <c r="M8" s="22"/>
      <c r="N8" s="15"/>
      <c r="P8" s="32"/>
      <c r="Q8" s="13"/>
      <c r="R8" s="13"/>
      <c r="S8" s="13"/>
      <c r="T8" s="15"/>
      <c r="U8" s="14"/>
      <c r="V8" s="30"/>
      <c r="X8" s="21"/>
      <c r="Y8" s="21"/>
      <c r="Z8" s="22"/>
      <c r="AA8" s="22"/>
      <c r="AB8" s="22"/>
      <c r="AC8" s="26"/>
      <c r="AE8" s="21"/>
      <c r="AF8" s="22"/>
      <c r="AG8" s="22"/>
      <c r="AH8" s="22"/>
      <c r="AI8" s="26"/>
    </row>
    <row r="9" spans="2:35">
      <c r="B9" s="12" t="s">
        <v>1</v>
      </c>
      <c r="C9" s="32"/>
      <c r="D9" s="14"/>
      <c r="E9" s="14"/>
      <c r="F9" s="14"/>
      <c r="G9" s="15"/>
      <c r="H9" s="36"/>
      <c r="J9" s="34"/>
      <c r="K9" s="22"/>
      <c r="L9" s="22"/>
      <c r="M9" s="22"/>
      <c r="N9" s="15"/>
      <c r="P9" s="32"/>
      <c r="Q9" s="13"/>
      <c r="R9" s="13"/>
      <c r="S9" s="13"/>
      <c r="T9" s="15"/>
      <c r="U9" s="14"/>
      <c r="V9" s="30"/>
      <c r="X9" s="21"/>
      <c r="Y9" s="21"/>
      <c r="Z9" s="22"/>
      <c r="AA9" s="22"/>
      <c r="AB9" s="22"/>
      <c r="AC9" s="26"/>
      <c r="AE9" s="21"/>
      <c r="AF9" s="22"/>
      <c r="AG9" s="22"/>
      <c r="AH9" s="22"/>
      <c r="AI9" s="26"/>
    </row>
    <row r="10" spans="2:35">
      <c r="B10" s="12" t="s">
        <v>2</v>
      </c>
      <c r="C10" s="32"/>
      <c r="D10" s="14"/>
      <c r="E10" s="14"/>
      <c r="F10" s="14"/>
      <c r="G10" s="15"/>
      <c r="H10" s="36"/>
      <c r="J10" s="34"/>
      <c r="K10" s="22"/>
      <c r="L10" s="22"/>
      <c r="M10" s="22"/>
      <c r="N10" s="15"/>
      <c r="P10" s="32"/>
      <c r="Q10" s="13"/>
      <c r="R10" s="13"/>
      <c r="S10" s="13"/>
      <c r="T10" s="15"/>
      <c r="U10" s="14"/>
      <c r="V10" s="30"/>
      <c r="X10" s="21"/>
      <c r="Y10" s="21"/>
      <c r="Z10" s="22"/>
      <c r="AA10" s="22"/>
      <c r="AB10" s="22"/>
      <c r="AC10" s="26"/>
      <c r="AE10" s="21"/>
      <c r="AF10" s="22"/>
      <c r="AG10" s="22"/>
      <c r="AH10" s="22"/>
      <c r="AI10" s="26"/>
    </row>
    <row r="11" spans="2:35" ht="2.1" customHeight="1">
      <c r="B11" s="1"/>
      <c r="C11" s="4"/>
      <c r="G11" s="5"/>
      <c r="H11" s="5"/>
      <c r="J11" s="7"/>
      <c r="N11" s="5"/>
      <c r="P11" s="4"/>
      <c r="Q11" s="4"/>
      <c r="R11" s="4"/>
      <c r="S11" s="4"/>
      <c r="T11" s="4"/>
      <c r="U11" s="3"/>
      <c r="V11" s="3"/>
      <c r="X11" s="7"/>
      <c r="Y11" s="7"/>
      <c r="Z11" s="6"/>
      <c r="AA11" s="6"/>
      <c r="AB11" s="6"/>
      <c r="AC11" s="5"/>
      <c r="AE11" s="7"/>
      <c r="AF11" s="6"/>
      <c r="AG11" s="6"/>
      <c r="AH11" s="6"/>
      <c r="AI11" s="8"/>
    </row>
    <row r="12" spans="2:35" s="2" customFormat="1" ht="15">
      <c r="B12" s="16" t="s">
        <v>7</v>
      </c>
      <c r="C12" s="33">
        <f>SUM(C5:C10)</f>
        <v>352</v>
      </c>
      <c r="D12" s="17">
        <f t="shared" ref="D12:AH12" si="8">SUM(D5:D10)</f>
        <v>-124</v>
      </c>
      <c r="E12" s="17">
        <f t="shared" si="8"/>
        <v>32</v>
      </c>
      <c r="F12" s="17">
        <f t="shared" si="8"/>
        <v>-92</v>
      </c>
      <c r="G12" s="18">
        <f>+F12/C12</f>
        <v>-0.26136363636363635</v>
      </c>
      <c r="H12" s="31">
        <f>+F12/U12</f>
        <v>-1.1794871794871795</v>
      </c>
      <c r="I12" s="9">
        <f t="shared" si="8"/>
        <v>0</v>
      </c>
      <c r="J12" s="35">
        <f t="shared" si="8"/>
        <v>24021196</v>
      </c>
      <c r="K12" s="23">
        <f t="shared" si="8"/>
        <v>9085260.3900000006</v>
      </c>
      <c r="L12" s="23">
        <f t="shared" si="8"/>
        <v>1246000</v>
      </c>
      <c r="M12" s="23">
        <f t="shared" si="8"/>
        <v>10331260.390000001</v>
      </c>
      <c r="N12" s="24">
        <f t="shared" ref="N12" si="9">+M12/J12</f>
        <v>0.4300893423458183</v>
      </c>
      <c r="O12" s="25">
        <f t="shared" si="8"/>
        <v>0</v>
      </c>
      <c r="P12" s="33">
        <f>SUM(P5:P10)</f>
        <v>1628</v>
      </c>
      <c r="Q12" s="17">
        <f>SUM(Q5:Q10)</f>
        <v>489</v>
      </c>
      <c r="R12" s="17">
        <f>SUM(R5:R10)</f>
        <v>71</v>
      </c>
      <c r="S12" s="17">
        <f>SUM(S5:S11)</f>
        <v>560</v>
      </c>
      <c r="T12" s="24">
        <f>+S12/P12</f>
        <v>0.34398034398034399</v>
      </c>
      <c r="U12" s="17">
        <f t="shared" ref="U12" si="10">SUM(U5:U10)</f>
        <v>78</v>
      </c>
      <c r="V12" s="31">
        <f>+U12/Q12</f>
        <v>0.15950920245398773</v>
      </c>
      <c r="W12" s="25"/>
      <c r="X12" s="27">
        <f t="shared" si="8"/>
        <v>252444168.33000001</v>
      </c>
      <c r="Y12" s="27">
        <f t="shared" si="8"/>
        <v>42228511.740000002</v>
      </c>
      <c r="Z12" s="27">
        <f t="shared" si="8"/>
        <v>13002344.08</v>
      </c>
      <c r="AA12" s="27">
        <f t="shared" si="8"/>
        <v>11710885.680000002</v>
      </c>
      <c r="AB12" s="23">
        <f t="shared" si="8"/>
        <v>43519970.140000001</v>
      </c>
      <c r="AC12" s="28">
        <f t="shared" ref="AC12" si="11">+AB12/X12</f>
        <v>0.17239443647242361</v>
      </c>
      <c r="AD12" s="9">
        <f t="shared" si="8"/>
        <v>0</v>
      </c>
      <c r="AE12" s="27">
        <f t="shared" si="8"/>
        <v>844749.09999999986</v>
      </c>
      <c r="AF12" s="27">
        <f>SUM(AF5:AF10)</f>
        <v>10263.92</v>
      </c>
      <c r="AG12" s="27">
        <f t="shared" si="8"/>
        <v>18971</v>
      </c>
      <c r="AH12" s="27">
        <f t="shared" si="8"/>
        <v>836042.0199999999</v>
      </c>
      <c r="AI12" s="28">
        <f t="shared" ref="AI12" si="12">+AH12/X12</f>
        <v>3.3117897930884633E-3</v>
      </c>
    </row>
  </sheetData>
  <mergeCells count="5">
    <mergeCell ref="J2:N2"/>
    <mergeCell ref="X2:AC2"/>
    <mergeCell ref="AE2:AI2"/>
    <mergeCell ref="P2:V2"/>
    <mergeCell ref="C2:H2"/>
  </mergeCells>
  <pageMargins left="0.7" right="0.7" top="0.75" bottom="0.75" header="0.3" footer="0.3"/>
  <ignoredErrors>
    <ignoredError sqref="G12 N12 AC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2" sqref="A2"/>
    </sheetView>
  </sheetViews>
  <sheetFormatPr baseColWidth="10" defaultRowHeight="14.25"/>
  <cols>
    <col min="1" max="1" width="29.75" bestFit="1" customWidth="1"/>
    <col min="2" max="2" width="6.375" customWidth="1"/>
    <col min="8" max="8" width="0.625" customWidth="1"/>
    <col min="9" max="10" width="15.625" bestFit="1" customWidth="1"/>
    <col min="11" max="11" width="14.625" bestFit="1" customWidth="1"/>
    <col min="12" max="12" width="15.625" bestFit="1" customWidth="1"/>
    <col min="14" max="14" width="0.375" customWidth="1"/>
    <col min="21" max="21" width="11.375" customWidth="1"/>
    <col min="22" max="22" width="0.375" customWidth="1"/>
    <col min="23" max="23" width="18.25" bestFit="1" customWidth="1"/>
    <col min="24" max="24" width="15.625" bestFit="1" customWidth="1"/>
    <col min="25" max="25" width="14.625" bestFit="1" customWidth="1"/>
    <col min="26" max="26" width="13.375" customWidth="1"/>
    <col min="27" max="27" width="15.125" bestFit="1" customWidth="1"/>
    <col min="28" max="28" width="11.375" customWidth="1"/>
    <col min="29" max="29" width="0.625" customWidth="1"/>
    <col min="30" max="30" width="15.625" bestFit="1" customWidth="1"/>
    <col min="31" max="31" width="12" bestFit="1" customWidth="1"/>
    <col min="32" max="32" width="13.625" customWidth="1"/>
    <col min="33" max="33" width="13.125" bestFit="1" customWidth="1"/>
  </cols>
  <sheetData>
    <row r="1" spans="1:35">
      <c r="B1" s="3"/>
      <c r="C1" s="3"/>
      <c r="D1" s="3"/>
      <c r="E1" s="3"/>
      <c r="F1" s="3"/>
      <c r="G1" s="3"/>
      <c r="H1" s="3"/>
      <c r="I1" s="6"/>
      <c r="J1" s="6"/>
      <c r="K1" s="6"/>
      <c r="L1" s="6"/>
    </row>
    <row r="2" spans="1:35" ht="15">
      <c r="A2" s="2"/>
      <c r="B2" s="66" t="s">
        <v>11</v>
      </c>
      <c r="C2" s="67"/>
      <c r="D2" s="67"/>
      <c r="E2" s="67"/>
      <c r="F2" s="67"/>
      <c r="G2" s="67"/>
      <c r="H2" s="29"/>
      <c r="I2" s="68" t="s">
        <v>12</v>
      </c>
      <c r="J2" s="68"/>
      <c r="K2" s="68"/>
      <c r="L2" s="68"/>
      <c r="M2" s="68"/>
      <c r="N2" s="2"/>
      <c r="O2" s="63" t="s">
        <v>28</v>
      </c>
      <c r="P2" s="64"/>
      <c r="Q2" s="64"/>
      <c r="R2" s="64"/>
      <c r="S2" s="64"/>
      <c r="T2" s="64"/>
      <c r="U2" s="65"/>
      <c r="V2" s="2"/>
      <c r="W2" s="68" t="s">
        <v>18</v>
      </c>
      <c r="X2" s="68"/>
      <c r="Y2" s="68"/>
      <c r="Z2" s="68"/>
      <c r="AA2" s="68"/>
      <c r="AB2" s="68"/>
      <c r="AC2" s="2"/>
      <c r="AD2" s="68" t="s">
        <v>20</v>
      </c>
      <c r="AE2" s="68"/>
      <c r="AF2" s="68"/>
      <c r="AG2" s="68"/>
      <c r="AH2" s="68"/>
      <c r="AI2" s="2"/>
    </row>
    <row r="3" spans="1:35">
      <c r="B3" s="3"/>
      <c r="C3" s="3"/>
      <c r="D3" s="3"/>
      <c r="E3" s="3"/>
      <c r="F3" s="3"/>
      <c r="G3" s="3"/>
      <c r="H3" s="3"/>
      <c r="I3" s="6"/>
      <c r="J3" s="6"/>
      <c r="K3" s="6"/>
      <c r="L3" s="6"/>
      <c r="M3" s="3"/>
      <c r="W3" s="6"/>
      <c r="X3" s="6"/>
      <c r="Y3" s="6"/>
      <c r="Z3" s="6"/>
      <c r="AA3" s="6"/>
      <c r="AB3" s="3"/>
      <c r="AD3" s="6"/>
      <c r="AE3" s="6"/>
      <c r="AF3" s="6"/>
      <c r="AG3" s="6"/>
      <c r="AH3" s="3"/>
    </row>
    <row r="4" spans="1:35" ht="45">
      <c r="A4" s="10" t="s">
        <v>0</v>
      </c>
      <c r="B4" s="10" t="s">
        <v>8</v>
      </c>
      <c r="C4" s="11" t="s">
        <v>23</v>
      </c>
      <c r="D4" s="11" t="s">
        <v>9</v>
      </c>
      <c r="E4" s="10" t="s">
        <v>31</v>
      </c>
      <c r="F4" s="10" t="s">
        <v>10</v>
      </c>
      <c r="G4" s="19" t="s">
        <v>27</v>
      </c>
      <c r="H4" s="3"/>
      <c r="I4" s="19" t="s">
        <v>8</v>
      </c>
      <c r="J4" s="20" t="s">
        <v>13</v>
      </c>
      <c r="K4" s="20" t="s">
        <v>14</v>
      </c>
      <c r="L4" s="10" t="s">
        <v>31</v>
      </c>
      <c r="M4" s="10" t="s">
        <v>10</v>
      </c>
      <c r="O4" s="10" t="s">
        <v>8</v>
      </c>
      <c r="P4" s="11" t="s">
        <v>29</v>
      </c>
      <c r="Q4" s="11" t="s">
        <v>30</v>
      </c>
      <c r="R4" s="10" t="s">
        <v>31</v>
      </c>
      <c r="S4" s="10" t="s">
        <v>10</v>
      </c>
      <c r="T4" s="11" t="s">
        <v>26</v>
      </c>
      <c r="U4" s="19" t="s">
        <v>27</v>
      </c>
      <c r="W4" s="20" t="s">
        <v>19</v>
      </c>
      <c r="X4" s="20" t="s">
        <v>15</v>
      </c>
      <c r="Y4" s="20" t="s">
        <v>17</v>
      </c>
      <c r="Z4" s="20" t="s">
        <v>16</v>
      </c>
      <c r="AA4" s="10" t="s">
        <v>31</v>
      </c>
      <c r="AB4" s="10" t="s">
        <v>24</v>
      </c>
      <c r="AD4" s="20" t="s">
        <v>38</v>
      </c>
      <c r="AE4" s="20" t="s">
        <v>22</v>
      </c>
      <c r="AF4" s="20" t="s">
        <v>16</v>
      </c>
      <c r="AG4" s="10" t="s">
        <v>31</v>
      </c>
      <c r="AH4" s="10" t="s">
        <v>25</v>
      </c>
    </row>
    <row r="5" spans="1:35" ht="15">
      <c r="A5" s="12" t="s">
        <v>32</v>
      </c>
      <c r="B5" s="40">
        <v>44</v>
      </c>
      <c r="C5" s="61">
        <v>-36</v>
      </c>
      <c r="D5" s="61">
        <v>7</v>
      </c>
      <c r="E5" s="43">
        <f>+C5+D5</f>
        <v>-29</v>
      </c>
      <c r="F5" s="52">
        <f>C5/B5</f>
        <v>-0.81818181818181823</v>
      </c>
      <c r="G5" s="47">
        <f>E5/T5</f>
        <v>-2.6363636363636362</v>
      </c>
      <c r="H5" s="3"/>
      <c r="I5" s="50">
        <v>2429367</v>
      </c>
      <c r="J5" s="22">
        <v>850822.26</v>
      </c>
      <c r="K5" s="22">
        <v>180000</v>
      </c>
      <c r="L5" s="50">
        <f>+J5+K5</f>
        <v>1030822.26</v>
      </c>
      <c r="M5" s="44">
        <f>L5/I5</f>
        <v>0.4243172233754719</v>
      </c>
      <c r="O5" s="53">
        <v>221</v>
      </c>
      <c r="P5" s="61">
        <v>54</v>
      </c>
      <c r="Q5" s="61">
        <v>12</v>
      </c>
      <c r="R5" s="53">
        <f>+P5+Q5</f>
        <v>66</v>
      </c>
      <c r="S5" s="44">
        <f>R5/O5</f>
        <v>0.29864253393665158</v>
      </c>
      <c r="T5" s="43">
        <v>11</v>
      </c>
      <c r="U5" s="54">
        <f>R5/T5</f>
        <v>6</v>
      </c>
      <c r="W5" s="37">
        <v>20917361.629999999</v>
      </c>
      <c r="X5" s="37">
        <v>2618965.2799999998</v>
      </c>
      <c r="Y5" s="37">
        <v>3166084.39</v>
      </c>
      <c r="Z5" s="22">
        <v>2150371</v>
      </c>
      <c r="AA5" s="50">
        <f>+X5+Y5-Z5</f>
        <v>3634678.67</v>
      </c>
      <c r="AB5" s="56">
        <f>AA5/W5</f>
        <v>0.17376372480872962</v>
      </c>
      <c r="AD5" s="39">
        <v>187306.6</v>
      </c>
      <c r="AE5" s="60">
        <v>0</v>
      </c>
      <c r="AF5" s="38">
        <v>12615</v>
      </c>
      <c r="AG5" s="50">
        <f>+AD5+AE5-AF5</f>
        <v>174691.6</v>
      </c>
      <c r="AH5" s="56">
        <f>AG5/W5</f>
        <v>8.3515121596145596E-3</v>
      </c>
    </row>
    <row r="6" spans="1:35" ht="15">
      <c r="A6" s="12" t="s">
        <v>33</v>
      </c>
      <c r="B6" s="40">
        <v>66</v>
      </c>
      <c r="C6" s="14">
        <v>-40</v>
      </c>
      <c r="D6" s="14">
        <v>5</v>
      </c>
      <c r="E6" s="43">
        <f t="shared" ref="E6:E10" si="0">+C6+D6</f>
        <v>-35</v>
      </c>
      <c r="F6" s="52">
        <f t="shared" ref="F6:F12" si="1">C6/B6</f>
        <v>-0.60606060606060608</v>
      </c>
      <c r="G6" s="47">
        <f t="shared" ref="G6:G12" si="2">E6/T6</f>
        <v>-2.3333333333333335</v>
      </c>
      <c r="H6" s="3"/>
      <c r="I6" s="50">
        <v>4999490</v>
      </c>
      <c r="J6" s="22">
        <v>2086985</v>
      </c>
      <c r="K6" s="22">
        <v>200000</v>
      </c>
      <c r="L6" s="50">
        <f t="shared" ref="L6:L10" si="3">+J6+K6</f>
        <v>2286985</v>
      </c>
      <c r="M6" s="44">
        <f t="shared" ref="M6:M10" si="4">L6/I6</f>
        <v>0.45744365925324382</v>
      </c>
      <c r="O6" s="53">
        <v>315</v>
      </c>
      <c r="P6" s="13">
        <v>116</v>
      </c>
      <c r="Q6" s="13">
        <v>10</v>
      </c>
      <c r="R6" s="53">
        <f t="shared" ref="R6:R10" si="5">+P6+Q6</f>
        <v>126</v>
      </c>
      <c r="S6" s="44">
        <f t="shared" ref="S6:S10" si="6">R6/O6</f>
        <v>0.4</v>
      </c>
      <c r="T6" s="43">
        <v>15</v>
      </c>
      <c r="U6" s="54">
        <f t="shared" ref="U6:U12" si="7">R6/T6</f>
        <v>8.4</v>
      </c>
      <c r="W6" s="37">
        <v>52931148</v>
      </c>
      <c r="X6" s="37">
        <v>9060914.3399999999</v>
      </c>
      <c r="Y6" s="37">
        <v>2770753.66</v>
      </c>
      <c r="Z6" s="22">
        <v>2938810</v>
      </c>
      <c r="AA6" s="50">
        <f t="shared" ref="AA6:AA10" si="8">+X6+Y6-Z6</f>
        <v>8892858</v>
      </c>
      <c r="AB6" s="56">
        <f t="shared" ref="AB6:AB10" si="9">AA6/W6</f>
        <v>0.16800803186811666</v>
      </c>
      <c r="AD6" s="39">
        <v>116276</v>
      </c>
      <c r="AE6" s="60">
        <v>0</v>
      </c>
      <c r="AF6" s="38">
        <v>0</v>
      </c>
      <c r="AG6" s="50">
        <f t="shared" ref="AG6:AG10" si="10">+AD6+AE6-AF6</f>
        <v>116276</v>
      </c>
      <c r="AH6" s="56">
        <f t="shared" ref="AH6:AH10" si="11">AG6/W6</f>
        <v>2.1967405656873342E-3</v>
      </c>
    </row>
    <row r="7" spans="1:35" ht="15">
      <c r="A7" s="12" t="s">
        <v>34</v>
      </c>
      <c r="B7" s="40">
        <v>105</v>
      </c>
      <c r="C7" s="61">
        <v>-28</v>
      </c>
      <c r="D7" s="61">
        <v>8</v>
      </c>
      <c r="E7" s="43">
        <f t="shared" si="0"/>
        <v>-20</v>
      </c>
      <c r="F7" s="52">
        <f t="shared" si="1"/>
        <v>-0.26666666666666666</v>
      </c>
      <c r="G7" s="47">
        <f t="shared" si="2"/>
        <v>-0.95238095238095233</v>
      </c>
      <c r="H7" s="3"/>
      <c r="I7" s="50">
        <v>7017216</v>
      </c>
      <c r="J7" s="22">
        <v>2655261</v>
      </c>
      <c r="K7" s="22">
        <v>340000</v>
      </c>
      <c r="L7" s="50">
        <f t="shared" si="3"/>
        <v>2995261</v>
      </c>
      <c r="M7" s="44">
        <f t="shared" si="4"/>
        <v>0.42684463468133232</v>
      </c>
      <c r="O7" s="53">
        <v>441</v>
      </c>
      <c r="P7" s="13">
        <v>155</v>
      </c>
      <c r="Q7" s="13">
        <v>22</v>
      </c>
      <c r="R7" s="53">
        <f t="shared" si="5"/>
        <v>177</v>
      </c>
      <c r="S7" s="44">
        <f t="shared" si="6"/>
        <v>0.40136054421768708</v>
      </c>
      <c r="T7" s="43">
        <v>21</v>
      </c>
      <c r="U7" s="54">
        <f t="shared" si="7"/>
        <v>8.4285714285714288</v>
      </c>
      <c r="W7" s="37">
        <v>87330826</v>
      </c>
      <c r="X7" s="37">
        <v>14586411.77</v>
      </c>
      <c r="Y7" s="37">
        <v>2916244.77</v>
      </c>
      <c r="Z7" s="22">
        <v>1493832</v>
      </c>
      <c r="AA7" s="50">
        <f t="shared" si="8"/>
        <v>16008824.539999999</v>
      </c>
      <c r="AB7" s="56">
        <f t="shared" si="9"/>
        <v>0.18331241410678972</v>
      </c>
      <c r="AD7" s="39">
        <v>231902</v>
      </c>
      <c r="AE7" s="60">
        <v>0</v>
      </c>
      <c r="AF7" s="38">
        <v>0</v>
      </c>
      <c r="AG7" s="50">
        <f t="shared" si="10"/>
        <v>231902</v>
      </c>
      <c r="AH7" s="56">
        <f t="shared" si="11"/>
        <v>2.6554426497695099E-3</v>
      </c>
    </row>
    <row r="8" spans="1:35" ht="15">
      <c r="A8" s="12" t="s">
        <v>35</v>
      </c>
      <c r="B8" s="40">
        <v>53</v>
      </c>
      <c r="C8" s="14">
        <v>-14</v>
      </c>
      <c r="D8" s="14">
        <v>5</v>
      </c>
      <c r="E8" s="43">
        <f t="shared" si="0"/>
        <v>-9</v>
      </c>
      <c r="F8" s="52">
        <f t="shared" si="1"/>
        <v>-0.26415094339622641</v>
      </c>
      <c r="G8" s="47">
        <f t="shared" si="2"/>
        <v>-0.75</v>
      </c>
      <c r="H8" s="3"/>
      <c r="I8" s="50">
        <v>3762611</v>
      </c>
      <c r="J8" s="22">
        <v>1363868.55</v>
      </c>
      <c r="K8" s="22">
        <v>216000</v>
      </c>
      <c r="L8" s="50">
        <f t="shared" si="3"/>
        <v>1579868.55</v>
      </c>
      <c r="M8" s="44">
        <f t="shared" si="4"/>
        <v>0.41988623059891123</v>
      </c>
      <c r="O8" s="53">
        <v>252</v>
      </c>
      <c r="P8" s="13">
        <v>56</v>
      </c>
      <c r="Q8" s="13">
        <v>12</v>
      </c>
      <c r="R8" s="53">
        <f t="shared" si="5"/>
        <v>68</v>
      </c>
      <c r="S8" s="44">
        <f t="shared" si="6"/>
        <v>0.26984126984126983</v>
      </c>
      <c r="T8" s="43">
        <v>12</v>
      </c>
      <c r="U8" s="54">
        <f t="shared" si="7"/>
        <v>5.666666666666667</v>
      </c>
      <c r="W8" s="37">
        <v>34305708.880000003</v>
      </c>
      <c r="X8" s="37">
        <v>5182147.6500000004</v>
      </c>
      <c r="Y8" s="37">
        <v>1950000</v>
      </c>
      <c r="Z8" s="22">
        <v>1913000</v>
      </c>
      <c r="AA8" s="50">
        <f t="shared" si="8"/>
        <v>5219147.6500000004</v>
      </c>
      <c r="AB8" s="56">
        <f t="shared" si="9"/>
        <v>0.15213641753494644</v>
      </c>
      <c r="AD8" s="39">
        <v>139958</v>
      </c>
      <c r="AE8" s="60">
        <v>0</v>
      </c>
      <c r="AF8" s="38">
        <v>0</v>
      </c>
      <c r="AG8" s="50">
        <f t="shared" si="10"/>
        <v>139958</v>
      </c>
      <c r="AH8" s="56">
        <f t="shared" si="11"/>
        <v>4.0797291345754574E-3</v>
      </c>
    </row>
    <row r="9" spans="1:35" ht="15">
      <c r="A9" s="12" t="s">
        <v>36</v>
      </c>
      <c r="B9" s="40">
        <v>33</v>
      </c>
      <c r="C9" s="14">
        <v>7</v>
      </c>
      <c r="D9" s="14">
        <v>3</v>
      </c>
      <c r="E9" s="43">
        <f t="shared" si="0"/>
        <v>10</v>
      </c>
      <c r="F9" s="52">
        <f t="shared" si="1"/>
        <v>0.21212121212121213</v>
      </c>
      <c r="G9" s="47">
        <f t="shared" si="2"/>
        <v>1.25</v>
      </c>
      <c r="H9" s="3"/>
      <c r="I9" s="50">
        <v>2263504</v>
      </c>
      <c r="J9" s="22">
        <v>575881</v>
      </c>
      <c r="K9" s="22">
        <v>110000</v>
      </c>
      <c r="L9" s="50">
        <f t="shared" si="3"/>
        <v>685881</v>
      </c>
      <c r="M9" s="44">
        <f t="shared" si="4"/>
        <v>0.30301735715951905</v>
      </c>
      <c r="O9" s="53">
        <v>168</v>
      </c>
      <c r="P9" s="13">
        <v>38</v>
      </c>
      <c r="Q9" s="13">
        <v>7</v>
      </c>
      <c r="R9" s="53">
        <f t="shared" si="5"/>
        <v>45</v>
      </c>
      <c r="S9" s="44">
        <f t="shared" si="6"/>
        <v>0.26785714285714285</v>
      </c>
      <c r="T9" s="43">
        <v>8</v>
      </c>
      <c r="U9" s="54">
        <f t="shared" si="7"/>
        <v>5.625</v>
      </c>
      <c r="W9" s="37">
        <v>19849404.800000001</v>
      </c>
      <c r="X9" s="37">
        <v>3053759</v>
      </c>
      <c r="Y9" s="37">
        <v>15851.41</v>
      </c>
      <c r="Z9" s="22">
        <v>756848.96</v>
      </c>
      <c r="AA9" s="50">
        <f t="shared" si="8"/>
        <v>2312761.4500000002</v>
      </c>
      <c r="AB9" s="56">
        <f t="shared" si="9"/>
        <v>0.11651540554001902</v>
      </c>
      <c r="AD9" s="39">
        <v>45264.31</v>
      </c>
      <c r="AE9" s="60">
        <v>0</v>
      </c>
      <c r="AF9" s="38">
        <v>0</v>
      </c>
      <c r="AG9" s="50">
        <f t="shared" si="10"/>
        <v>45264.31</v>
      </c>
      <c r="AH9" s="56">
        <f t="shared" si="11"/>
        <v>2.2803862612545437E-3</v>
      </c>
    </row>
    <row r="10" spans="1:35" ht="15">
      <c r="A10" s="12" t="s">
        <v>37</v>
      </c>
      <c r="B10" s="40">
        <v>51</v>
      </c>
      <c r="C10" s="14">
        <v>-13</v>
      </c>
      <c r="D10" s="14">
        <v>4</v>
      </c>
      <c r="E10" s="43">
        <f t="shared" si="0"/>
        <v>-9</v>
      </c>
      <c r="F10" s="52">
        <f t="shared" si="1"/>
        <v>-0.25490196078431371</v>
      </c>
      <c r="G10" s="47">
        <f t="shared" si="2"/>
        <v>-0.81818181818181823</v>
      </c>
      <c r="H10" s="3"/>
      <c r="I10" s="50">
        <v>3549008</v>
      </c>
      <c r="J10" s="22">
        <v>1552442.58</v>
      </c>
      <c r="K10" s="22">
        <v>200000</v>
      </c>
      <c r="L10" s="50">
        <f t="shared" si="3"/>
        <v>1752442.58</v>
      </c>
      <c r="M10" s="44">
        <f t="shared" si="4"/>
        <v>0.49378377845302124</v>
      </c>
      <c r="O10" s="53">
        <v>231</v>
      </c>
      <c r="P10" s="13">
        <v>70</v>
      </c>
      <c r="Q10" s="13">
        <v>8</v>
      </c>
      <c r="R10" s="53">
        <f t="shared" si="5"/>
        <v>78</v>
      </c>
      <c r="S10" s="44">
        <f t="shared" si="6"/>
        <v>0.33766233766233766</v>
      </c>
      <c r="T10" s="43">
        <v>11</v>
      </c>
      <c r="U10" s="54">
        <f t="shared" si="7"/>
        <v>7.0909090909090908</v>
      </c>
      <c r="W10" s="37">
        <v>37109719.020000003</v>
      </c>
      <c r="X10" s="37">
        <v>7726313.7000000002</v>
      </c>
      <c r="Y10" s="37">
        <v>2183409.85</v>
      </c>
      <c r="Z10" s="22">
        <v>2458023.7200000002</v>
      </c>
      <c r="AA10" s="50">
        <f t="shared" si="8"/>
        <v>7451699.8300000001</v>
      </c>
      <c r="AB10" s="56">
        <f t="shared" si="9"/>
        <v>0.20080183916197164</v>
      </c>
      <c r="AD10" s="39">
        <v>124042.19</v>
      </c>
      <c r="AE10" s="60">
        <v>10263.92</v>
      </c>
      <c r="AF10" s="38">
        <v>6356</v>
      </c>
      <c r="AG10" s="50">
        <f t="shared" si="10"/>
        <v>127950.11000000002</v>
      </c>
      <c r="AH10" s="56">
        <f t="shared" si="11"/>
        <v>3.4478867902783708E-3</v>
      </c>
    </row>
    <row r="11" spans="1:35" ht="15">
      <c r="A11" s="1"/>
      <c r="B11" s="41"/>
      <c r="C11" s="3"/>
      <c r="D11" s="3"/>
      <c r="E11" s="45"/>
      <c r="F11" s="59"/>
      <c r="G11" s="47"/>
      <c r="H11" s="3"/>
      <c r="I11" s="48"/>
      <c r="J11" s="6"/>
      <c r="K11" s="6"/>
      <c r="L11" s="51"/>
      <c r="M11" s="46"/>
      <c r="O11" s="41"/>
      <c r="P11" s="4"/>
      <c r="Q11" s="4"/>
      <c r="R11" s="41"/>
      <c r="S11" s="41"/>
      <c r="T11" s="45"/>
      <c r="U11" s="54"/>
      <c r="W11" s="7"/>
      <c r="X11" s="7"/>
      <c r="Y11" s="6"/>
      <c r="Z11" s="6"/>
      <c r="AA11" s="51"/>
      <c r="AB11" s="56"/>
      <c r="AD11" s="21"/>
      <c r="AE11" s="22"/>
      <c r="AF11" s="6"/>
      <c r="AG11" s="51"/>
      <c r="AH11" s="57"/>
    </row>
    <row r="12" spans="1:35" ht="15">
      <c r="A12" s="16" t="s">
        <v>7</v>
      </c>
      <c r="B12" s="42">
        <f>SUM(B5:B10)</f>
        <v>352</v>
      </c>
      <c r="C12" s="33">
        <f>SUM(C5:C10)</f>
        <v>-124</v>
      </c>
      <c r="D12" s="33">
        <f>SUM(D5:D10)</f>
        <v>32</v>
      </c>
      <c r="E12" s="42">
        <f>SUM(E5:E10)</f>
        <v>-92</v>
      </c>
      <c r="F12" s="52">
        <f t="shared" si="1"/>
        <v>-0.35227272727272729</v>
      </c>
      <c r="G12" s="47">
        <f t="shared" si="2"/>
        <v>-1.1794871794871795</v>
      </c>
      <c r="H12" s="9">
        <v>0</v>
      </c>
      <c r="I12" s="49">
        <f>SUM(I5:I10)</f>
        <v>24021196</v>
      </c>
      <c r="J12" s="37">
        <f>SUM(J5:J10)</f>
        <v>9085260.3900000006</v>
      </c>
      <c r="K12" s="37">
        <f t="shared" ref="K12:L12" si="12">SUM(K5:K10)</f>
        <v>1246000</v>
      </c>
      <c r="L12" s="49">
        <f t="shared" si="12"/>
        <v>10331260.389999999</v>
      </c>
      <c r="M12" s="52">
        <f>L12/I12</f>
        <v>0.43008934234581819</v>
      </c>
      <c r="N12" s="25">
        <v>0</v>
      </c>
      <c r="O12" s="42">
        <f>SUM(O5:O10)</f>
        <v>1628</v>
      </c>
      <c r="P12" s="33">
        <f>SUM(P5:P10)</f>
        <v>489</v>
      </c>
      <c r="Q12" s="33">
        <f>SUM(Q5:Q10)</f>
        <v>71</v>
      </c>
      <c r="R12" s="42">
        <f>SUM(R5:R10)</f>
        <v>560</v>
      </c>
      <c r="S12" s="52">
        <v>0.68585543303833474</v>
      </c>
      <c r="T12" s="42">
        <f>SUM(T5:T10)</f>
        <v>78</v>
      </c>
      <c r="U12" s="54">
        <f t="shared" si="7"/>
        <v>7.1794871794871797</v>
      </c>
      <c r="V12" s="25"/>
      <c r="W12" s="27">
        <f>SUM(W5:W11)</f>
        <v>252444168.33000001</v>
      </c>
      <c r="X12" s="27">
        <f>SUM(X5:X10)</f>
        <v>42228511.740000002</v>
      </c>
      <c r="Y12" s="27">
        <f>SUM(Y5:Y10)</f>
        <v>13002344.08</v>
      </c>
      <c r="Z12" s="27">
        <f>SUM(Z5:Z10)</f>
        <v>11710885.680000002</v>
      </c>
      <c r="AA12" s="55">
        <f>SUM(AA5:AA10)</f>
        <v>43519970.140000001</v>
      </c>
      <c r="AB12" s="56">
        <f>AA12/W12</f>
        <v>0.17239443647242361</v>
      </c>
      <c r="AC12" s="9">
        <v>0</v>
      </c>
      <c r="AD12" s="27">
        <f>SUM(AD5:AD10)</f>
        <v>844749.09999999986</v>
      </c>
      <c r="AE12" s="27">
        <f>SUM(AE5:AE10)</f>
        <v>10263.92</v>
      </c>
      <c r="AF12" s="27">
        <f>SUM(AF5:AF10)</f>
        <v>18971</v>
      </c>
      <c r="AG12" s="55">
        <f>SUM(AG5:AG10)</f>
        <v>836042.0199999999</v>
      </c>
      <c r="AH12" s="58">
        <f>AG12/W12</f>
        <v>3.3117897930884633E-3</v>
      </c>
      <c r="AI12" s="2"/>
    </row>
    <row r="17" spans="3:24">
      <c r="C17" t="s">
        <v>39</v>
      </c>
    </row>
    <row r="21" spans="3:24">
      <c r="X21" s="62"/>
    </row>
  </sheetData>
  <mergeCells count="5">
    <mergeCell ref="B2:G2"/>
    <mergeCell ref="I2:M2"/>
    <mergeCell ref="O2:U2"/>
    <mergeCell ref="W2:AB2"/>
    <mergeCell ref="AD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region occidente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 Regional Desarrollo Huehuetenango (Carlos Samayoa)</dc:creator>
  <cp:lastModifiedBy>Jackeline Monterroso</cp:lastModifiedBy>
  <dcterms:created xsi:type="dcterms:W3CDTF">2026-02-11T18:06:07Z</dcterms:created>
  <dcterms:modified xsi:type="dcterms:W3CDTF">2026-05-15T14:44:37Z</dcterms:modified>
</cp:coreProperties>
</file>